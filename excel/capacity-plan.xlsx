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f5640406d242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city plan" sheetId="1" r:id="R05d8e3b94ed54b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;($#,##0);&quot;-&quot;"/>
    <x:numFmt numFmtId="201" formatCode="#,##0;(#,##0);&quot;-&quot;"/>
    <x:numFmt numFmtId="202" formatCode="0.0%"/>
  </x:numFmts>
  <x:fonts count="7">
    <x:font>
      <x:sz val="11"/>
      <x:name val="Carlito"/>
    </x:font>
    <x:font>
      <x:sz val="11"/>
      <x:color rgb="FF182B3B"/>
      <x:name val="Arial"/>
    </x:font>
    <x:font>
      <x:b/>
      <x:sz val="17"/>
      <x:color rgb="FF182B3B"/>
      <x:name val="Arial"/>
    </x:font>
    <x:font>
      <x:sz val="11"/>
      <x:color rgb="FF0000FF"/>
      <x:name val="Arial"/>
    </x:font>
    <x:font>
      <x:b/>
      <x:sz val="11"/>
      <x:color rgb="FF182B3B"/>
      <x:name val="Arial"/>
    </x:font>
    <x:font>
      <x:b/>
      <x:sz val="11"/>
      <x:color rgb="FFFFFFFF"/>
      <x:name val="Arial"/>
    </x:font>
    <x:font>
      <x:sz val="11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B"/>
      </x:patternFill>
    </x:fill>
    <x:fill>
      <x:patternFill patternType="solid">
        <x:fgColor rgb="FF16344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201" fontId="3" fillId="2" borderId="0" xfId="0" applyNumberFormat="1" applyFont="1" applyFill="1" applyBorder="1"/>
    <x:xf numFmtId="201" fontId="6" fillId="0" borderId="0" xfId="0" applyNumberFormat="1" applyFont="1" applyFill="1" applyBorder="1"/>
    <x:xf numFmtId="200" fontId="4" fillId="0" borderId="0" xfId="0" applyNumberFormat="1" applyFont="1" applyFill="1" applyBorder="1"/>
    <x:xf numFmtId="200" fontId="6" fillId="0" borderId="0" xfId="0" applyNumberFormat="1" applyFont="1" applyFill="1" applyBorder="1"/>
    <x:xf numFmtId="202" fontId="6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A12822"/>
      </x:font>
      <x:fill>
        <x:patternFill patternType="solid">
          <x:bgColor rgb="FFFDE6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85df29e5764371" /><Relationship Type="http://schemas.openxmlformats.org/officeDocument/2006/relationships/theme" Target="/xl/theme/theme1.xml" Id="Ra4691dcdea484398" /><Relationship Type="http://schemas.openxmlformats.org/officeDocument/2006/relationships/sharedStrings" Target="/xl/sharedStrings.xml" Id="R3a1b1a0cb49e46d7" /><Relationship Type="http://schemas.openxmlformats.org/officeDocument/2006/relationships/worksheet" Target="/xl/worksheets/sheet1.xml" Id="R05d8e3b94ed54b1a" /></Relationships>
</file>

<file path=xl/tables/table1.xml><?xml version="1.0" encoding="utf-8"?>
<x:table xmlns:x="http://schemas.openxmlformats.org/spreadsheetml/2006/main" id="1" name="CapacityPlan" displayName="CapacityPlan" ref="A10:I16" headerRowCount="1" totalsRowCount="0" totalsRowShown="0">
  <x:tableColumns count="9">
    <x:tableColumn id="1" name="Lane"/>
    <x:tableColumn id="2" name="Demand loads"/>
    <x:tableColumn id="3" name="Reserved loads"/>
    <x:tableColumn id="4" name="Shortfall"/>
    <x:tableColumn id="5" name="Spot loads"/>
    <x:tableColumn id="6" name="Unmet loads"/>
    <x:tableColumn id="7" name="Total cost"/>
    <x:tableColumn id="8" name="Unused loads"/>
    <x:tableColumn id="9" name="Utiliz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6be0c05dc047b3" /></Relationships>
</file>

<file path=xl/worksheets/sheet1.xml><?xml version="1.0" encoding="utf-8"?>
<x:worksheet xmlns:x="http://schemas.openxmlformats.org/spreadsheetml/2006/main">
  <x:sheetPr>
    <x:tabColor rgb="FF163447"/>
  </x:sheetPr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4" customHeight="1">
      <x:c r="A2" s="2" t="str">
        <x:v>Weekly capacity plan</x:v>
      </x:c>
      <x:c r="B2" s="1"/>
      <x:c r="C2" s="1"/>
      <x:c r="D2" s="1"/>
      <x:c r="E2" s="1"/>
      <x:c r="F2" s="1"/>
      <x:c r="G2" s="1"/>
      <x:c r="H2" s="1"/>
      <x:c r="I2" s="1"/>
    </x:row>
    <x:row r="3" ht="24" customHeight="1">
      <x:c r="A3" s="1" t="str">
        <x:v>Week of 21 September 2026. Synthetic demand. USD per load.</x:v>
      </x:c>
      <x:c r="B3" s="1"/>
      <x:c r="C3" s="1"/>
      <x:c r="D3" s="1"/>
      <x:c r="E3" s="1"/>
      <x:c r="F3" s="1"/>
      <x:c r="G3" s="1"/>
      <x:c r="H3" s="1"/>
      <x:c r="I3" s="1"/>
    </x:row>
    <x:row r="4" ht="24" customHeight="1">
      <x:c r="A4" s="1" t="str">
        <x:v>Contract rate</x:v>
      </x:c>
      <x:c r="B4" s="1" t="str">
        <x:v>Spot rate</x:v>
      </x:c>
      <x:c r="C4" s="1" t="str">
        <x:v>Unmet penalty</x:v>
      </x:c>
      <x:c r="D4" s="1" t="str">
        <x:v>Spot limit</x:v>
      </x:c>
      <x:c r="E4" s="1" t="str"/>
      <x:c r="F4" s="1" t="str"/>
      <x:c r="G4" s="1" t="str"/>
      <x:c r="H4" s="1" t="str"/>
      <x:c r="I4" s="1" t="str"/>
    </x:row>
    <x:row r="5" ht="24" customHeight="1">
      <x:c r="A5" s="5" t="n">
        <x:v>820</x:v>
      </x:c>
      <x:c r="B5" s="5" t="n">
        <x:v>1100</x:v>
      </x:c>
      <x:c r="C5" s="5" t="n">
        <x:v>1900</x:v>
      </x:c>
      <x:c r="D5" s="4" t="n">
        <x:v>25</x:v>
      </x:c>
      <x:c r="E5" s="1"/>
      <x:c r="F5" s="1"/>
      <x:c r="G5" s="1"/>
      <x:c r="H5" s="1"/>
      <x:c r="I5" s="1"/>
    </x:row>
    <x:row r="6" ht="24" customHeight="1">
      <x:c r="A6" s="1"/>
      <x:c r="B6" s="1"/>
      <x:c r="C6" s="1"/>
      <x:c r="D6" s="1"/>
      <x:c r="E6" s="1"/>
      <x:c r="F6" s="1"/>
      <x:c r="G6" s="1"/>
      <x:c r="H6" s="1"/>
      <x:c r="I6" s="1"/>
    </x:row>
    <x:row r="7" ht="24" customHeight="1">
      <x:c r="A7" s="6" t="str">
        <x:v>Plan totals</x:v>
      </x:c>
      <x:c r="B7" s="6" t="n">
        <x:f>SUM(B11:B16)</x:f>
        <x:v>609</x:v>
      </x:c>
      <x:c r="C7" s="6" t="n">
        <x:f>SUM(C11:C16)</x:f>
        <x:v>593</x:v>
      </x:c>
      <x:c r="D7" s="6"/>
      <x:c r="E7" s="6"/>
      <x:c r="F7" s="6"/>
      <x:c r="G7" s="13" t="n">
        <x:f>SUM(G11:G16)</x:f>
        <x:v>503860</x:v>
      </x:c>
      <x:c r="H7" s="6"/>
      <x:c r="I7" s="6"/>
    </x:row>
    <x:row r="8" ht="24" customHeight="1">
      <x:c r="A8" s="1"/>
      <x:c r="B8" s="1"/>
      <x:c r="C8" s="1"/>
      <x:c r="D8" s="1"/>
      <x:c r="E8" s="1"/>
      <x:c r="F8" s="1"/>
      <x:c r="G8" s="1"/>
      <x:c r="H8" s="1"/>
      <x:c r="I8" s="1"/>
    </x:row>
    <x:row r="9" ht="24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32" customHeight="1">
      <x:c r="A10" s="9" t="str">
        <x:v>Lane</x:v>
      </x:c>
      <x:c r="B10" s="9" t="str">
        <x:v>Demand loads</x:v>
      </x:c>
      <x:c r="C10" s="9" t="str">
        <x:v>Reserved loads</x:v>
      </x:c>
      <x:c r="D10" s="9" t="str">
        <x:v>Shortfall</x:v>
      </x:c>
      <x:c r="E10" s="9" t="str">
        <x:v>Spot loads</x:v>
      </x:c>
      <x:c r="F10" s="9" t="str">
        <x:v>Unmet loads</x:v>
      </x:c>
      <x:c r="G10" s="9" t="str">
        <x:v>Total cost</x:v>
      </x:c>
      <x:c r="H10" s="9" t="str">
        <x:v>Unused loads</x:v>
      </x:c>
      <x:c r="I10" s="9" t="str">
        <x:v>Utilization</x:v>
      </x:c>
    </x:row>
    <x:row r="11" ht="24" customHeight="1">
      <x:c r="A11" s="1" t="str">
        <x:v>L01</x:v>
      </x:c>
      <x:c r="B11" s="11" t="n">
        <x:v>83</x:v>
      </x:c>
      <x:c r="C11" s="11" t="n">
        <x:v>80</x:v>
      </x:c>
      <x:c r="D11" s="12" t="n">
        <x:f>MAX(0,B11-C11)</x:f>
        <x:v>3</x:v>
      </x:c>
      <x:c r="E11" s="12" t="n">
        <x:f>IF($B$5&lt;$C$5,MIN(D11,$D$5),0)</x:f>
        <x:v>3</x:v>
      </x:c>
      <x:c r="F11" s="12" t="n">
        <x:f>D11-E11</x:f>
        <x:v>0</x:v>
      </x:c>
      <x:c r="G11" s="14" t="n">
        <x:f>C11*$A$5+E11*$B$5+F11*$C$5</x:f>
        <x:v>68900</x:v>
      </x:c>
      <x:c r="H11" s="12" t="n">
        <x:f>MAX(0,C11-B11)</x:f>
        <x:v>0</x:v>
      </x:c>
      <x:c r="I11" s="15" t="n">
        <x:f>IF(C11=0,"n.a.",MIN(B11,C11)/C11)</x:f>
        <x:v>1</x:v>
      </x:c>
    </x:row>
    <x:row r="12" ht="24" customHeight="1">
      <x:c r="A12" s="1" t="str">
        <x:v>L02</x:v>
      </x:c>
      <x:c r="B12" s="11" t="n">
        <x:v>96</x:v>
      </x:c>
      <x:c r="C12" s="11" t="n">
        <x:v>92</x:v>
      </x:c>
      <x:c r="D12" s="12" t="n">
        <x:f>MAX(0,B12-C12)</x:f>
        <x:v>4</x:v>
      </x:c>
      <x:c r="E12" s="12" t="n">
        <x:f>IF($B$5&lt;$C$5,MIN(D12,$D$5),0)</x:f>
        <x:v>4</x:v>
      </x:c>
      <x:c r="F12" s="12" t="n">
        <x:f>D12-E12</x:f>
        <x:v>0</x:v>
      </x:c>
      <x:c r="G12" s="14" t="n">
        <x:f>C12*$A$5+E12*$B$5+F12*$C$5</x:f>
        <x:v>79840</x:v>
      </x:c>
      <x:c r="H12" s="12" t="n">
        <x:f>MAX(0,C12-B12)</x:f>
        <x:v>0</x:v>
      </x:c>
      <x:c r="I12" s="15" t="n">
        <x:f>IF(C12=0,"n.a.",MIN(B12,C12)/C12)</x:f>
        <x:v>1</x:v>
      </x:c>
    </x:row>
    <x:row r="13" ht="24" customHeight="1">
      <x:c r="A13" s="1" t="str">
        <x:v>L03</x:v>
      </x:c>
      <x:c r="B13" s="11" t="n">
        <x:v>106</x:v>
      </x:c>
      <x:c r="C13" s="11" t="n">
        <x:v>102</x:v>
      </x:c>
      <x:c r="D13" s="12" t="n">
        <x:f>MAX(0,B13-C13)</x:f>
        <x:v>4</x:v>
      </x:c>
      <x:c r="E13" s="12" t="n">
        <x:f>IF($B$5&lt;$C$5,MIN(D13,$D$5),0)</x:f>
        <x:v>4</x:v>
      </x:c>
      <x:c r="F13" s="12" t="n">
        <x:f>D13-E13</x:f>
        <x:v>0</x:v>
      </x:c>
      <x:c r="G13" s="14" t="n">
        <x:f>C13*$A$5+E13*$B$5+F13*$C$5</x:f>
        <x:v>88040</x:v>
      </x:c>
      <x:c r="H13" s="12" t="n">
        <x:f>MAX(0,C13-B13)</x:f>
        <x:v>0</x:v>
      </x:c>
      <x:c r="I13" s="15" t="n">
        <x:f>IF(C13=0,"n.a.",MIN(B13,C13)/C13)</x:f>
        <x:v>1</x:v>
      </x:c>
    </x:row>
    <x:row r="14" ht="24" customHeight="1">
      <x:c r="A14" s="1" t="str">
        <x:v>L04</x:v>
      </x:c>
      <x:c r="B14" s="11" t="n">
        <x:v>114</x:v>
      </x:c>
      <x:c r="C14" s="11" t="n">
        <x:v>110</x:v>
      </x:c>
      <x:c r="D14" s="12" t="n">
        <x:f>MAX(0,B14-C14)</x:f>
        <x:v>4</x:v>
      </x:c>
      <x:c r="E14" s="12" t="n">
        <x:f>IF($B$5&lt;$C$5,MIN(D14,$D$5),0)</x:f>
        <x:v>4</x:v>
      </x:c>
      <x:c r="F14" s="12" t="n">
        <x:f>D14-E14</x:f>
        <x:v>0</x:v>
      </x:c>
      <x:c r="G14" s="14" t="n">
        <x:f>C14*$A$5+E14*$B$5+F14*$C$5</x:f>
        <x:v>94600</x:v>
      </x:c>
      <x:c r="H14" s="12" t="n">
        <x:f>MAX(0,C14-B14)</x:f>
        <x:v>0</x:v>
      </x:c>
      <x:c r="I14" s="15" t="n">
        <x:f>IF(C14=0,"n.a.",MIN(B14,C14)/C14)</x:f>
        <x:v>1</x:v>
      </x:c>
    </x:row>
    <x:row r="15" ht="24" customHeight="1">
      <x:c r="A15" s="1" t="str">
        <x:v>L05</x:v>
      </x:c>
      <x:c r="B15" s="11" t="n">
        <x:v>94</x:v>
      </x:c>
      <x:c r="C15" s="11" t="n">
        <x:v>93</x:v>
      </x:c>
      <x:c r="D15" s="12" t="n">
        <x:f>MAX(0,B15-C15)</x:f>
        <x:v>1</x:v>
      </x:c>
      <x:c r="E15" s="12" t="n">
        <x:f>IF($B$5&lt;$C$5,MIN(D15,$D$5),0)</x:f>
        <x:v>1</x:v>
      </x:c>
      <x:c r="F15" s="12" t="n">
        <x:f>D15-E15</x:f>
        <x:v>0</x:v>
      </x:c>
      <x:c r="G15" s="14" t="n">
        <x:f>C15*$A$5+E15*$B$5+F15*$C$5</x:f>
        <x:v>77360</x:v>
      </x:c>
      <x:c r="H15" s="12" t="n">
        <x:f>MAX(0,C15-B15)</x:f>
        <x:v>0</x:v>
      </x:c>
      <x:c r="I15" s="15" t="n">
        <x:f>IF(C15=0,"n.a.",MIN(B15,C15)/C15)</x:f>
        <x:v>1</x:v>
      </x:c>
    </x:row>
    <x:row r="16" ht="24" customHeight="1">
      <x:c r="A16" s="1" t="str">
        <x:v>L06</x:v>
      </x:c>
      <x:c r="B16" s="11" t="n">
        <x:v>116</x:v>
      </x:c>
      <x:c r="C16" s="11" t="n">
        <x:v>116</x:v>
      </x:c>
      <x:c r="D16" s="12" t="n">
        <x:f>MAX(0,B16-C16)</x:f>
        <x:v>0</x:v>
      </x:c>
      <x:c r="E16" s="12" t="n">
        <x:f>IF($B$5&lt;$C$5,MIN(D16,$D$5),0)</x:f>
        <x:v>0</x:v>
      </x:c>
      <x:c r="F16" s="12" t="n">
        <x:f>D16-E16</x:f>
        <x:v>0</x:v>
      </x:c>
      <x:c r="G16" s="14" t="n">
        <x:f>C16*$A$5+E16*$B$5+F16*$C$5</x:f>
        <x:v>95120</x:v>
      </x:c>
      <x:c r="H16" s="12" t="n">
        <x:f>MAX(0,C16-B16)</x:f>
        <x:v>0</x:v>
      </x:c>
      <x:c r="I16" s="15" t="n">
        <x:f>IF(C16=0,"n.a.",MIN(B16,C16)/C16)</x:f>
        <x:v>1</x:v>
      </x:c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4" customHeight="1">
      <x:c r="A19" s="1" t="str">
        <x:v>Yellow cells are editable. Costs are calculated for the entered demand, not averaged across scenarios.</x:v>
      </x:c>
      <x:c r="B19" s="1"/>
      <x:c r="C19" s="1"/>
      <x:c r="D19" s="1"/>
      <x:c r="E19" s="1"/>
      <x:c r="F19" s="1"/>
      <x:c r="G19" s="1"/>
      <x:c r="H19" s="1"/>
      <x:c r="I19" s="1"/>
    </x:row>
    <x:row r="20" ht="24" customHeight="1">
      <x:c r="A20" s="1" t="str">
        <x:v>Input source: build/capacity_plan.csv. Forecast and CRM demand are rounded up to whole loads.</x:v>
      </x:c>
      <x:c r="B20" s="1"/>
      <x:c r="C20" s="1"/>
      <x:c r="D20" s="1"/>
      <x:c r="E20" s="1"/>
      <x:c r="F20" s="1"/>
      <x:c r="G20" s="1"/>
      <x:c r="H20" s="1"/>
      <x:c r="I20" s="1"/>
    </x:row>
    <x:row r="21" ht="24" customHeight="1">
      <x:c r="A21" s="1" t="str">
        <x:v>Reserved capacity is paid in full. Spot loads are used only when cheaper than the shortfall penalty.</x:v>
      </x:c>
      <x:c r="B21" s="1"/>
      <x:c r="C21" s="1"/>
      <x:c r="D21" s="1"/>
      <x:c r="E21" s="1"/>
      <x:c r="F21" s="1"/>
      <x:c r="G21" s="1"/>
      <x:c r="H21" s="1"/>
      <x:c r="I21" s="1"/>
    </x:row>
    <x:row r="22" ht="24" customHeight="1">
      <x:c r="A22" s="1" t="str">
        <x:v>Refresh inputs with integrations/refresh-plan.ts. Rates are illustrative assumptions, not market quotes.</x:v>
      </x:c>
      <x:c r="B22" s="1"/>
      <x:c r="C22" s="1"/>
      <x:c r="D22" s="1"/>
      <x:c r="E22" s="1"/>
      <x:c r="F22" s="1"/>
      <x:c r="G22" s="1"/>
      <x:c r="H22" s="1"/>
      <x:c r="I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</x:row>
  </x:sheetData>
  <x:conditionalFormatting sqref="F11:F16">
    <x:cfRule type="cellIs" dxfId="0" priority="1" operator="greaterThan">
      <x:formula>0</x:formula>
    </x:cfRule>
  </x:conditionalFormatting>
  <x:dataValidations count="2">
    <x:dataValidation type="whole" operator="greaterThanOrEqual" sqref="B11:C16">
      <x:formula1>0</x:formula1>
    </x:dataValidation>
    <x:dataValidation type="decimal" operator="greaterThanOrEqual" sqref="A5:D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6be0c05dc047b3"/>
  </x:tableParts>
</x:worksheet>
</file>